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a7boub/"/>
    </mc:Choice>
  </mc:AlternateContent>
  <xr:revisionPtr revIDLastSave="0" documentId="8_{8552E476-D511-8344-B27B-08D0551B0775}" xr6:coauthVersionLast="47" xr6:coauthVersionMax="47" xr10:uidLastSave="{00000000-0000-0000-0000-000000000000}"/>
  <bookViews>
    <workbookView xWindow="0" yWindow="600" windowWidth="28800" windowHeight="16640" xr2:uid="{00000000-000D-0000-FFFF-FFFF00000000}"/>
  </bookViews>
  <sheets>
    <sheet name="Prospects" sheetId="1" r:id="rId1"/>
    <sheet name="Dashboard" sheetId="2" r:id="rId2"/>
    <sheet name="Guide" sheetId="3" r:id="rId3"/>
  </sheets>
  <definedNames>
    <definedName name="_xlnm._FilterDatabase" localSheetId="0" hidden="1">Prospects!$A$2:$R$7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I17" i="2"/>
  <c r="F17" i="2"/>
  <c r="E17" i="2"/>
  <c r="D17" i="2"/>
  <c r="C17" i="2"/>
  <c r="B17" i="2"/>
  <c r="J16" i="2"/>
  <c r="I16" i="2"/>
  <c r="F16" i="2"/>
  <c r="E16" i="2"/>
  <c r="D16" i="2"/>
  <c r="C16" i="2"/>
  <c r="B16" i="2"/>
  <c r="J15" i="2"/>
  <c r="I15" i="2"/>
  <c r="F15" i="2"/>
  <c r="E15" i="2"/>
  <c r="D15" i="2"/>
  <c r="C15" i="2"/>
  <c r="B15" i="2"/>
  <c r="J14" i="2"/>
  <c r="I14" i="2"/>
  <c r="F14" i="2"/>
  <c r="E14" i="2"/>
  <c r="D14" i="2"/>
  <c r="C14" i="2"/>
  <c r="B14" i="2"/>
  <c r="J13" i="2"/>
  <c r="I13" i="2"/>
  <c r="F13" i="2"/>
  <c r="E13" i="2"/>
  <c r="D13" i="2"/>
  <c r="C13" i="2"/>
  <c r="B13" i="2"/>
  <c r="J12" i="2"/>
  <c r="I12" i="2"/>
  <c r="F12" i="2"/>
  <c r="E12" i="2"/>
  <c r="D12" i="2"/>
  <c r="C12" i="2"/>
  <c r="B12" i="2"/>
  <c r="J11" i="2"/>
  <c r="I11" i="2"/>
  <c r="F11" i="2"/>
  <c r="E11" i="2"/>
  <c r="D11" i="2"/>
  <c r="C11" i="2"/>
  <c r="B11" i="2"/>
  <c r="K6" i="2"/>
  <c r="I6" i="2"/>
  <c r="G6" i="2"/>
  <c r="E6" i="2"/>
  <c r="C6" i="2"/>
  <c r="A6" i="2"/>
  <c r="K7" i="1"/>
  <c r="B7" i="1"/>
  <c r="O6" i="1"/>
  <c r="M6" i="1"/>
  <c r="K6" i="1"/>
  <c r="B6" i="1"/>
  <c r="O5" i="1"/>
  <c r="K5" i="1"/>
  <c r="B5" i="1"/>
  <c r="O4" i="1"/>
  <c r="M4" i="1"/>
  <c r="K4" i="1"/>
  <c r="B4" i="1"/>
  <c r="B3" i="1"/>
</calcChain>
</file>

<file path=xl/sharedStrings.xml><?xml version="1.0" encoding="utf-8"?>
<sst xmlns="http://schemas.openxmlformats.org/spreadsheetml/2006/main" count="157" uniqueCount="121">
  <si>
    <t>MS AGENCY — SUIVI PROSPECTS</t>
  </si>
  <si>
    <t>ID</t>
  </si>
  <si>
    <t>Date Scraping</t>
  </si>
  <si>
    <t>Secteur</t>
  </si>
  <si>
    <t>Nom Commerce</t>
  </si>
  <si>
    <t>Ville</t>
  </si>
  <si>
    <t>Téléphone</t>
  </si>
  <si>
    <t>Site Actuel</t>
  </si>
  <si>
    <t>Qualité Site</t>
  </si>
  <si>
    <t>Contact (Patron)</t>
  </si>
  <si>
    <t>Statut Appel</t>
  </si>
  <si>
    <t>Date Appel</t>
  </si>
  <si>
    <t>Mockup ?</t>
  </si>
  <si>
    <t>Date Mockup</t>
  </si>
  <si>
    <t>Statut Prospect</t>
  </si>
  <si>
    <t>Date Relance</t>
  </si>
  <si>
    <t>Offre</t>
  </si>
  <si>
    <t>Montant €</t>
  </si>
  <si>
    <t>Notes</t>
  </si>
  <si>
    <t>Garage</t>
  </si>
  <si>
    <t>Garage Moretti</t>
  </si>
  <si>
    <t>Lyon</t>
  </si>
  <si>
    <t>06 12 34 56 78</t>
  </si>
  <si>
    <t>Absent</t>
  </si>
  <si>
    <t>Marco Moretti</t>
  </si>
  <si>
    <t>À appeler</t>
  </si>
  <si>
    <t>Non</t>
  </si>
  <si>
    <t>Nouveau</t>
  </si>
  <si>
    <t>Site Vitrine 990€</t>
  </si>
  <si>
    <t>Scraping Google Maps</t>
  </si>
  <si>
    <t>Artisan</t>
  </si>
  <si>
    <t>Plomberie Benali</t>
  </si>
  <si>
    <t>Bordeaux</t>
  </si>
  <si>
    <t>06 98 76 54 32</t>
  </si>
  <si>
    <t>www.plomberie-benali.fr</t>
  </si>
  <si>
    <t>Mauvais</t>
  </si>
  <si>
    <t>Karim Benali</t>
  </si>
  <si>
    <t>Oui</t>
  </si>
  <si>
    <t>Mockup envoyé</t>
  </si>
  <si>
    <t>Pack Visibilité 1490€</t>
  </si>
  <si>
    <t>Site non mobile</t>
  </si>
  <si>
    <t>Auto-École</t>
  </si>
  <si>
    <t>Auto-École Liberté</t>
  </si>
  <si>
    <t>Marseille</t>
  </si>
  <si>
    <t>04 91 23 45 67</t>
  </si>
  <si>
    <t>Sophie Martin</t>
  </si>
  <si>
    <t>À relancer</t>
  </si>
  <si>
    <t>Relancer mardi</t>
  </si>
  <si>
    <t>Restaurant</t>
  </si>
  <si>
    <t>Le Petit Palais</t>
  </si>
  <si>
    <t>Paris 11</t>
  </si>
  <si>
    <t>01 43 56 78 90</t>
  </si>
  <si>
    <t>www.lepetitpalais.com</t>
  </si>
  <si>
    <t>Moyen</t>
  </si>
  <si>
    <t>Ahmed Diallo</t>
  </si>
  <si>
    <t>Signé</t>
  </si>
  <si>
    <t>Acompte 50% reçu</t>
  </si>
  <si>
    <t>Salon Beauté</t>
  </si>
  <si>
    <t>Beauty Queen</t>
  </si>
  <si>
    <t>Nice</t>
  </si>
  <si>
    <t>06 77 88 99 00</t>
  </si>
  <si>
    <t>Instagram only</t>
  </si>
  <si>
    <t>Fatima Zahra</t>
  </si>
  <si>
    <t>Perdu</t>
  </si>
  <si>
    <t>MS AGENCY — DASHBOARD</t>
  </si>
  <si>
    <t>KPIs EN TEMPS RÉEL</t>
  </si>
  <si>
    <t>Total Prospects</t>
  </si>
  <si>
    <t>Signés</t>
  </si>
  <si>
    <t>CA Signé €</t>
  </si>
  <si>
    <t>Conversion</t>
  </si>
  <si>
    <t>Mockups</t>
  </si>
  <si>
    <t>À Relancer</t>
  </si>
  <si>
    <t>PAR SECTEUR</t>
  </si>
  <si>
    <t>PAR STATUT</t>
  </si>
  <si>
    <t>Prospects</t>
  </si>
  <si>
    <t>CA (€)</t>
  </si>
  <si>
    <t>Taux Conv.</t>
  </si>
  <si>
    <t>Statut</t>
  </si>
  <si>
    <t>Nombre</t>
  </si>
  <si>
    <t>% Total</t>
  </si>
  <si>
    <t>RDV fixé</t>
  </si>
  <si>
    <t>Cabinet Médical</t>
  </si>
  <si>
    <t>Négociation</t>
  </si>
  <si>
    <t>Autre</t>
  </si>
  <si>
    <t>GUIDE D'UTILISATION MS AGENCY TRACKER</t>
  </si>
  <si>
    <t>COMMENT UTILISER</t>
  </si>
  <si>
    <t>1. Scraping Apify</t>
  </si>
  <si>
    <t>Lance Apify → copie dans l'onglet Prospects les colonnes : Secteur, Nom, Ville, Téléphone, Site</t>
  </si>
  <si>
    <t>2. Qualification</t>
  </si>
  <si>
    <t>Simohamed vérifie chaque ligne → note Qualité Site → priorité aux 'Absent'</t>
  </si>
  <si>
    <t>3. Appel</t>
  </si>
  <si>
    <t>Simohamed appelle → met à jour Statut Appel + Date Appel</t>
  </si>
  <si>
    <t>4. Mockup</t>
  </si>
  <si>
    <t>Si intérêt → tu crées le mockup → mettre 'Oui' + date dans les colonnes Mockup</t>
  </si>
  <si>
    <t>5. Closing</t>
  </si>
  <si>
    <t>Client signe → Statut Prospect = 'Signé' → Dashboard se met à jour automatiquement</t>
  </si>
  <si>
    <t>6. Relances</t>
  </si>
  <si>
    <t>Filtrer sur 'À relancer' → rappeler dans les 48h maximum</t>
  </si>
  <si>
    <t>STATUTS EXPLIQUÉS</t>
  </si>
  <si>
    <t>Scrappé, pas encore contacté</t>
  </si>
  <si>
    <t>Intérêt confirmé, mockup transmis par lien</t>
  </si>
  <si>
    <t>Contact établi, pas de décision → relancer sous 48h</t>
  </si>
  <si>
    <t>Rendez-vous physique ou appel vidéo programmé</t>
  </si>
  <si>
    <t>En cours de closing, discussion prix/offre</t>
  </si>
  <si>
    <t>Contrat signé + acompte 50% reçu → lancer la production</t>
  </si>
  <si>
    <t>Refus définitif → ne pas relancer avant 3 mois</t>
  </si>
  <si>
    <t>RÈGLES IMPORTANTES</t>
  </si>
  <si>
    <t>Qualifier avant appel</t>
  </si>
  <si>
    <t>Ne jamais appeler sans avoir vérifié que le site est absent ou nul</t>
  </si>
  <si>
    <t>Fiche avant mockup</t>
  </si>
  <si>
    <t>Remplir les 7 variables client avant de demander un mockup</t>
  </si>
  <si>
    <t>Relance J+1</t>
  </si>
  <si>
    <t>Tout prospect intéressé sans réponse = relancer le lendemain matin</t>
  </si>
  <si>
    <t>Max 3 relances</t>
  </si>
  <si>
    <t>Après 3 tentatives sans réponse → Perdu</t>
  </si>
  <si>
    <t>GRILLE TARIFAIRE</t>
  </si>
  <si>
    <t>5 pages, mobile, SEO local, formulaire, Maps, SSL, hébergement 1 an, livraison 48h</t>
  </si>
  <si>
    <t>Site vitrine + Google My Business optimisé + 5 fiches annuaires</t>
  </si>
  <si>
    <t>Maintenance 50€/mois</t>
  </si>
  <si>
    <t>Domaine, sécurité, mises à jour, modifications incluses, support 24h</t>
  </si>
  <si>
    <t>Ne répond plus hf ejhzbhjfezjbfezbfyezbufbezybfezuf. Zbdbzbyfbzebjfjehznjfejfeznjfne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</si>
</sst>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\€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b/>
      <sz val="10"/>
      <color rgb="FFFFFFFF"/>
      <name val="Arial"/>
      <family val="2"/>
    </font>
    <font>
      <b/>
      <sz val="20"/>
      <color rgb="FFE94560"/>
      <name val="Arial"/>
      <family val="2"/>
    </font>
    <font>
      <b/>
      <sz val="20"/>
      <color rgb="FF27AE60"/>
      <name val="Arial"/>
      <family val="2"/>
    </font>
    <font>
      <b/>
      <sz val="20"/>
      <color rgb="FF0F3460"/>
      <name val="Arial"/>
      <family val="2"/>
    </font>
    <font>
      <b/>
      <sz val="20"/>
      <color rgb="FFF39C12"/>
      <name val="Arial"/>
      <family val="2"/>
    </font>
    <font>
      <b/>
      <sz val="20"/>
      <color rgb="FF16213E"/>
      <name val="Arial"/>
      <family val="2"/>
    </font>
    <font>
      <b/>
      <sz val="20"/>
      <color rgb="FFE74C3C"/>
      <name val="Arial"/>
      <family val="2"/>
    </font>
    <font>
      <b/>
      <sz val="13"/>
      <color rgb="FFFFFFFF"/>
      <name val="Arial"/>
      <family val="2"/>
    </font>
    <font>
      <b/>
      <sz val="9"/>
      <color rgb="FF16213E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EBF5FB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FDEDEC"/>
      </patternFill>
    </fill>
    <fill>
      <patternFill patternType="solid">
        <fgColor rgb="FFE94560"/>
      </patternFill>
    </fill>
    <fill>
      <patternFill patternType="solid">
        <fgColor rgb="FFFFFFFF"/>
      </patternFill>
    </fill>
    <fill>
      <patternFill patternType="solid">
        <fgColor rgb="FF27AE60"/>
      </patternFill>
    </fill>
    <fill>
      <patternFill patternType="solid">
        <fgColor rgb="FFF39C12"/>
      </patternFill>
    </fill>
    <fill>
      <patternFill patternType="solid">
        <fgColor rgb="FF16213E"/>
      </patternFill>
    </fill>
    <fill>
      <patternFill patternType="solid">
        <fgColor rgb="FFE74C3C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4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4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165" fontId="3" fillId="9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164" fontId="3" fillId="14" borderId="1" xfId="0" applyNumberFormat="1" applyFont="1" applyFill="1" applyBorder="1" applyAlignment="1">
      <alignment horizontal="center" vertical="center" wrapText="1"/>
    </xf>
    <xf numFmtId="165" fontId="3" fillId="14" borderId="1" xfId="0" applyNumberFormat="1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11" borderId="1" xfId="0" applyFill="1" applyBorder="1"/>
    <xf numFmtId="0" fontId="0" fillId="12" borderId="1" xfId="0" applyFill="1" applyBorder="1"/>
    <xf numFmtId="165" fontId="8" fillId="9" borderId="1" xfId="0" applyNumberFormat="1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2" fillId="12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0" fillId="3" borderId="1" xfId="0" applyFill="1" applyBorder="1"/>
    <xf numFmtId="0" fontId="2" fillId="1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font>
        <color rgb="FFFFFFFF"/>
      </font>
      <fill>
        <patternFill patternType="solid">
          <fgColor indexed="64"/>
          <bgColor rgb="FF4472C4"/>
        </patternFill>
      </fill>
    </dxf>
    <dxf>
      <font>
        <color rgb="FF000000"/>
      </font>
      <fill>
        <patternFill patternType="solid">
          <fgColor indexed="64"/>
          <bgColor rgb="FFD9D9D9"/>
        </patternFill>
      </fill>
    </dxf>
    <dxf>
      <font>
        <color rgb="FFFFFFFF"/>
      </font>
      <fill>
        <patternFill patternType="solid">
          <fgColor indexed="64"/>
          <bgColor rgb="FFED7D31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4472C4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ED7D31"/>
        </patternFill>
      </fill>
    </dxf>
    <dxf>
      <font>
        <color rgb="FF000000"/>
      </font>
      <fill>
        <patternFill patternType="solid">
          <fgColor indexed="64"/>
          <bgColor rgb="FFD9D9D9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FFFFFF"/>
      </font>
      <fill>
        <patternFill patternType="solid">
          <fgColor indexed="64"/>
          <bgColor rgb="FF70AD4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437390-BD50-3F4D-A1DD-E242147CE61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a4b01b0-c945-451f-bff7-9574f1b9625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showGridLines="0" tabSelected="1" topLeftCell="I1" zoomScale="125" workbookViewId="0">
      <pane ySplit="2" topLeftCell="A3" activePane="bottomLeft" state="frozen"/>
      <selection pane="bottomLeft" activeCell="M2" sqref="M2"/>
    </sheetView>
  </sheetViews>
  <sheetFormatPr baseColWidth="10" defaultColWidth="8.83203125" defaultRowHeight="15" x14ac:dyDescent="0.2"/>
  <cols>
    <col min="1" max="1" width="2.6640625" bestFit="1" customWidth="1"/>
    <col min="2" max="2" width="11.1640625" bestFit="1" customWidth="1"/>
    <col min="3" max="3" width="10.1640625" bestFit="1" customWidth="1"/>
    <col min="4" max="4" width="13.5" bestFit="1" customWidth="1"/>
    <col min="5" max="5" width="7.6640625" bestFit="1" customWidth="1"/>
    <col min="6" max="6" width="11.5" bestFit="1" customWidth="1"/>
    <col min="7" max="7" width="17.33203125" bestFit="1" customWidth="1"/>
    <col min="8" max="8" width="9.5" bestFit="1" customWidth="1"/>
    <col min="9" max="9" width="12.6640625" bestFit="1" customWidth="1"/>
    <col min="10" max="10" width="9.83203125" bestFit="1" customWidth="1"/>
    <col min="11" max="11" width="8.83203125" bestFit="1" customWidth="1"/>
    <col min="12" max="12" width="7.83203125" bestFit="1" customWidth="1"/>
    <col min="13" max="13" width="10.1640625" bestFit="1" customWidth="1"/>
    <col min="14" max="14" width="12.1640625" bestFit="1" customWidth="1"/>
    <col min="15" max="15" width="10.5" bestFit="1" customWidth="1"/>
    <col min="16" max="16" width="15" bestFit="1" customWidth="1"/>
    <col min="17" max="17" width="8.1640625" bestFit="1" customWidth="1"/>
    <col min="18" max="18" width="59.5" bestFit="1" customWidth="1"/>
  </cols>
  <sheetData>
    <row r="1" spans="1:18" ht="36" customHeight="1" x14ac:dyDescent="0.2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ht="22" customHeight="1" x14ac:dyDescent="0.2">
      <c r="A3" s="2">
        <v>1</v>
      </c>
      <c r="B3" s="3">
        <f ca="1">TODAY()</f>
        <v>46122</v>
      </c>
      <c r="C3" s="2" t="s">
        <v>19</v>
      </c>
      <c r="D3" s="4" t="s">
        <v>20</v>
      </c>
      <c r="E3" s="2" t="s">
        <v>21</v>
      </c>
      <c r="F3" s="2" t="s">
        <v>22</v>
      </c>
      <c r="G3" s="4" t="s">
        <v>23</v>
      </c>
      <c r="H3" s="2" t="s">
        <v>23</v>
      </c>
      <c r="I3" s="4" t="s">
        <v>24</v>
      </c>
      <c r="J3" s="2" t="s">
        <v>25</v>
      </c>
      <c r="K3" s="3"/>
      <c r="L3" s="2" t="s">
        <v>26</v>
      </c>
      <c r="M3" s="3"/>
      <c r="N3" s="2" t="s">
        <v>38</v>
      </c>
      <c r="O3" s="3"/>
      <c r="P3" s="2" t="s">
        <v>28</v>
      </c>
      <c r="Q3" s="5">
        <v>990</v>
      </c>
      <c r="R3" s="4" t="s">
        <v>29</v>
      </c>
    </row>
    <row r="4" spans="1:18" ht="22" customHeight="1" x14ac:dyDescent="0.2">
      <c r="A4" s="6">
        <v>2</v>
      </c>
      <c r="B4" s="7">
        <f ca="1">TODAY()</f>
        <v>46122</v>
      </c>
      <c r="C4" s="6" t="s">
        <v>30</v>
      </c>
      <c r="D4" s="8" t="s">
        <v>31</v>
      </c>
      <c r="E4" s="6" t="s">
        <v>32</v>
      </c>
      <c r="F4" s="6" t="s">
        <v>33</v>
      </c>
      <c r="G4" s="8" t="s">
        <v>34</v>
      </c>
      <c r="H4" s="6" t="s">
        <v>35</v>
      </c>
      <c r="I4" s="8" t="s">
        <v>36</v>
      </c>
      <c r="J4" s="6" t="s">
        <v>25</v>
      </c>
      <c r="K4" s="7">
        <f ca="1">TODAY()-1</f>
        <v>46121</v>
      </c>
      <c r="L4" s="6" t="s">
        <v>37</v>
      </c>
      <c r="M4" s="7">
        <f ca="1">TODAY()-1</f>
        <v>46121</v>
      </c>
      <c r="N4" s="6" t="s">
        <v>27</v>
      </c>
      <c r="O4" s="7">
        <f ca="1">TODAY()+2</f>
        <v>46124</v>
      </c>
      <c r="P4" s="6" t="s">
        <v>39</v>
      </c>
      <c r="Q4" s="9">
        <v>1490</v>
      </c>
      <c r="R4" s="8" t="s">
        <v>40</v>
      </c>
    </row>
    <row r="5" spans="1:18" ht="22" customHeight="1" x14ac:dyDescent="0.2">
      <c r="A5" s="6">
        <v>3</v>
      </c>
      <c r="B5" s="7">
        <f ca="1">TODAY()-3</f>
        <v>46119</v>
      </c>
      <c r="C5" s="6" t="s">
        <v>41</v>
      </c>
      <c r="D5" s="8" t="s">
        <v>42</v>
      </c>
      <c r="E5" s="6" t="s">
        <v>43</v>
      </c>
      <c r="F5" s="6" t="s">
        <v>44</v>
      </c>
      <c r="G5" s="8" t="s">
        <v>23</v>
      </c>
      <c r="H5" s="6" t="s">
        <v>23</v>
      </c>
      <c r="I5" s="8" t="s">
        <v>45</v>
      </c>
      <c r="J5" s="6" t="s">
        <v>25</v>
      </c>
      <c r="K5" s="7">
        <f ca="1">TODAY()-2</f>
        <v>46120</v>
      </c>
      <c r="L5" s="6" t="s">
        <v>26</v>
      </c>
      <c r="M5" s="7"/>
      <c r="N5" s="6" t="s">
        <v>46</v>
      </c>
      <c r="O5" s="7">
        <f ca="1">TODAY()+1</f>
        <v>46123</v>
      </c>
      <c r="P5" s="6" t="s">
        <v>28</v>
      </c>
      <c r="Q5" s="9">
        <v>990</v>
      </c>
      <c r="R5" s="8" t="s">
        <v>47</v>
      </c>
    </row>
    <row r="6" spans="1:18" ht="22" customHeight="1" x14ac:dyDescent="0.2">
      <c r="A6" s="10">
        <v>4</v>
      </c>
      <c r="B6" s="11">
        <f ca="1">TODAY()-5</f>
        <v>46117</v>
      </c>
      <c r="C6" s="10" t="s">
        <v>48</v>
      </c>
      <c r="D6" s="12" t="s">
        <v>49</v>
      </c>
      <c r="E6" s="10" t="s">
        <v>50</v>
      </c>
      <c r="F6" s="10" t="s">
        <v>51</v>
      </c>
      <c r="G6" s="12" t="s">
        <v>52</v>
      </c>
      <c r="H6" s="10" t="s">
        <v>53</v>
      </c>
      <c r="I6" s="12" t="s">
        <v>54</v>
      </c>
      <c r="J6" s="10" t="s">
        <v>25</v>
      </c>
      <c r="K6" s="11">
        <f ca="1">TODAY()-4</f>
        <v>46118</v>
      </c>
      <c r="L6" s="10" t="s">
        <v>37</v>
      </c>
      <c r="M6" s="11">
        <f ca="1">TODAY()-3</f>
        <v>46119</v>
      </c>
      <c r="N6" s="10" t="s">
        <v>55</v>
      </c>
      <c r="O6" s="11">
        <f ca="1">TODAY()-2</f>
        <v>46120</v>
      </c>
      <c r="P6" s="10" t="s">
        <v>39</v>
      </c>
      <c r="Q6" s="13">
        <v>1490</v>
      </c>
      <c r="R6" s="12" t="s">
        <v>56</v>
      </c>
    </row>
    <row r="7" spans="1:18" ht="22" customHeight="1" x14ac:dyDescent="0.2">
      <c r="A7" s="14">
        <v>5</v>
      </c>
      <c r="B7" s="15">
        <f ca="1">TODAY()-7</f>
        <v>46115</v>
      </c>
      <c r="C7" s="14" t="s">
        <v>57</v>
      </c>
      <c r="D7" s="16" t="s">
        <v>58</v>
      </c>
      <c r="E7" s="14" t="s">
        <v>59</v>
      </c>
      <c r="F7" s="14" t="s">
        <v>60</v>
      </c>
      <c r="G7" s="16" t="s">
        <v>61</v>
      </c>
      <c r="H7" s="14" t="s">
        <v>23</v>
      </c>
      <c r="I7" s="16" t="s">
        <v>62</v>
      </c>
      <c r="J7" s="14" t="s">
        <v>25</v>
      </c>
      <c r="K7" s="15">
        <f ca="1">TODAY()-6</f>
        <v>46116</v>
      </c>
      <c r="L7" s="14" t="s">
        <v>26</v>
      </c>
      <c r="M7" s="15"/>
      <c r="N7" s="14" t="s">
        <v>63</v>
      </c>
      <c r="O7" s="15"/>
      <c r="P7" s="14" t="s">
        <v>28</v>
      </c>
      <c r="Q7" s="17">
        <v>0</v>
      </c>
      <c r="R7" s="16" t="s">
        <v>120</v>
      </c>
    </row>
  </sheetData>
  <autoFilter ref="A2:R7" xr:uid="{00000000-0001-0000-0000-000000000000}"/>
  <mergeCells count="1">
    <mergeCell ref="A1:R1"/>
  </mergeCells>
  <conditionalFormatting sqref="A3:R1000">
    <cfRule type="expression" dxfId="9" priority="1" stopIfTrue="1">
      <formula>$N3="Signé"</formula>
    </cfRule>
  </conditionalFormatting>
  <conditionalFormatting sqref="A3:R1000">
    <cfRule type="expression" dxfId="8" priority="2" stopIfTrue="1">
      <formula>$N3="Perdu"</formula>
    </cfRule>
  </conditionalFormatting>
  <conditionalFormatting sqref="A3:R1000">
    <cfRule type="expression" dxfId="7" priority="3" stopIfTrue="1">
      <formula>$J3="À appeler"</formula>
    </cfRule>
  </conditionalFormatting>
  <conditionalFormatting sqref="A3:R1000">
    <cfRule type="expression" dxfId="6" priority="4" stopIfTrue="1">
      <formula>$J3="Pas répondu"</formula>
    </cfRule>
  </conditionalFormatting>
  <conditionalFormatting sqref="A3:R1000">
    <cfRule type="expression" dxfId="5" priority="5" stopIfTrue="1">
      <formula>$J3="Refus"</formula>
    </cfRule>
  </conditionalFormatting>
  <conditionalFormatting sqref="A3:R1000">
    <cfRule type="expression" dxfId="4" priority="6" stopIfTrue="1">
      <formula>$J3="Intéressé"</formula>
    </cfRule>
  </conditionalFormatting>
  <conditionalFormatting sqref="A3:R1000">
    <cfRule type="expression" dxfId="3" priority="7" stopIfTrue="1">
      <formula>$N3="Mockup envoyé"</formula>
    </cfRule>
  </conditionalFormatting>
  <conditionalFormatting sqref="A3:R1000">
    <cfRule type="expression" dxfId="2" priority="8" stopIfTrue="1">
      <formula>$N3="À relancer"</formula>
    </cfRule>
  </conditionalFormatting>
  <conditionalFormatting sqref="A3:R1000">
    <cfRule type="expression" dxfId="1" priority="9" stopIfTrue="1">
      <formula>$N3="Nouveau"</formula>
    </cfRule>
  </conditionalFormatting>
  <conditionalFormatting sqref="A3:R1000">
    <cfRule type="expression" dxfId="0" priority="10" stopIfTrue="1">
      <formula>$J3="Appelé"</formula>
    </cfRule>
  </conditionalFormatting>
  <dataValidations count="6">
    <dataValidation type="list" allowBlank="1" sqref="C3:C5000" xr:uid="{00000000-0002-0000-0000-000000000000}">
      <formula1>"Garage,Artisan,Auto-École,Restaurant,Cabinet Médical,Salon Beauté,Autre"</formula1>
    </dataValidation>
    <dataValidation type="list" allowBlank="1" sqref="H3:H5000" xr:uid="{00000000-0002-0000-0000-000001000000}">
      <formula1>"Absent,Mauvais,Moyen,Correct"</formula1>
    </dataValidation>
    <dataValidation type="list" allowBlank="1" sqref="J3:J5000" xr:uid="{00000000-0002-0000-0000-000002000000}">
      <formula1>"À appeler,Appelé,Pas répondu,Rappel demandé,Refus"</formula1>
    </dataValidation>
    <dataValidation type="list" allowBlank="1" sqref="L3:L5000" xr:uid="{00000000-0002-0000-0000-000003000000}">
      <formula1>"Oui,Non"</formula1>
    </dataValidation>
    <dataValidation type="list" allowBlank="1" sqref="N3:N5000" xr:uid="{00000000-0002-0000-0000-000004000000}">
      <formula1>"Nouveau,Mockup envoyé,À relancer,RDV fixé,Négociation,Signé,Perdu"</formula1>
    </dataValidation>
    <dataValidation type="list" allowBlank="1" sqref="P3:P5000" xr:uid="{00000000-0002-0000-0000-000005000000}">
      <formula1>"Site Vitrine 990€,Pack Visibilité 1490€,Maintenance 50€/mois"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showGridLines="0" workbookViewId="0"/>
  </sheetViews>
  <sheetFormatPr baseColWidth="10" defaultColWidth="8.83203125" defaultRowHeight="15" x14ac:dyDescent="0.2"/>
  <cols>
    <col min="1" max="13" width="13" customWidth="1"/>
  </cols>
  <sheetData>
    <row r="1" spans="1:12" ht="36" customHeight="1" x14ac:dyDescent="0.2">
      <c r="A1" s="29" t="s">
        <v>64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3" spans="1:12" ht="24" customHeight="1" x14ac:dyDescent="0.2">
      <c r="A3" s="33" t="s">
        <v>65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ht="20" customHeight="1" x14ac:dyDescent="0.2">
      <c r="A4" s="43" t="s">
        <v>66</v>
      </c>
      <c r="B4" s="30"/>
      <c r="C4" s="35" t="s">
        <v>67</v>
      </c>
      <c r="D4" s="30"/>
      <c r="E4" s="36" t="s">
        <v>68</v>
      </c>
      <c r="F4" s="30"/>
      <c r="G4" s="44" t="s">
        <v>69</v>
      </c>
      <c r="H4" s="30"/>
      <c r="I4" s="46" t="s">
        <v>70</v>
      </c>
      <c r="J4" s="30"/>
      <c r="K4" s="49" t="s">
        <v>71</v>
      </c>
      <c r="L4" s="30"/>
    </row>
    <row r="5" spans="1:12" x14ac:dyDescent="0.2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ht="40" customHeight="1" x14ac:dyDescent="0.2">
      <c r="A6" s="34">
        <f>COUNTA(Prospects!A3:A5000)</f>
        <v>5</v>
      </c>
      <c r="B6" s="30"/>
      <c r="C6" s="31">
        <f>COUNTIF(Prospects!N3:N5000,"Signé")</f>
        <v>1</v>
      </c>
      <c r="D6" s="30"/>
      <c r="E6" s="41">
        <f>SUMIF(Prospects!N3:N5000,"Signé",Prospects!Q3:Q5000)</f>
        <v>1490</v>
      </c>
      <c r="F6" s="30"/>
      <c r="G6" s="40">
        <f>IFERROR(COUNTIF(Prospects!N3:N5000,"Signé")/COUNTA(Prospects!A3:A5000),0)</f>
        <v>0.2</v>
      </c>
      <c r="H6" s="30"/>
      <c r="I6" s="32">
        <f>COUNTIF(Prospects!L3:L5000,"Oui")</f>
        <v>2</v>
      </c>
      <c r="J6" s="30"/>
      <c r="K6" s="42">
        <f>COUNTIF(Prospects!N3:N5000,"À relancer")</f>
        <v>1</v>
      </c>
      <c r="L6" s="30"/>
    </row>
    <row r="7" spans="1:12" ht="4" customHeight="1" x14ac:dyDescent="0.2">
      <c r="A7" s="37"/>
      <c r="B7" s="30"/>
      <c r="C7" s="47"/>
      <c r="D7" s="30"/>
      <c r="E7" s="48"/>
      <c r="F7" s="30"/>
      <c r="G7" s="38"/>
      <c r="H7" s="30"/>
      <c r="I7" s="39"/>
      <c r="J7" s="30"/>
      <c r="K7" s="45"/>
      <c r="L7" s="30"/>
    </row>
    <row r="9" spans="1:12" ht="22" customHeight="1" x14ac:dyDescent="0.2">
      <c r="A9" s="33" t="s">
        <v>72</v>
      </c>
      <c r="B9" s="30"/>
      <c r="C9" s="30"/>
      <c r="D9" s="30"/>
      <c r="E9" s="30"/>
      <c r="F9" s="30"/>
      <c r="H9" s="33" t="s">
        <v>73</v>
      </c>
      <c r="I9" s="30"/>
      <c r="J9" s="30"/>
      <c r="K9" s="30"/>
      <c r="L9" s="30"/>
    </row>
    <row r="10" spans="1:12" ht="22" customHeight="1" x14ac:dyDescent="0.2">
      <c r="A10" s="18" t="s">
        <v>3</v>
      </c>
      <c r="B10" s="18" t="s">
        <v>74</v>
      </c>
      <c r="C10" s="18" t="s">
        <v>67</v>
      </c>
      <c r="D10" s="18" t="s">
        <v>75</v>
      </c>
      <c r="E10" s="18" t="s">
        <v>76</v>
      </c>
      <c r="F10" s="18" t="s">
        <v>70</v>
      </c>
      <c r="H10" s="18" t="s">
        <v>77</v>
      </c>
      <c r="I10" s="18" t="s">
        <v>78</v>
      </c>
      <c r="J10" s="18" t="s">
        <v>79</v>
      </c>
    </row>
    <row r="11" spans="1:12" ht="20" customHeight="1" x14ac:dyDescent="0.2">
      <c r="A11" s="19" t="s">
        <v>19</v>
      </c>
      <c r="B11" s="19">
        <f>COUNTIF(Prospects!C3:C5000,"Garage")</f>
        <v>1</v>
      </c>
      <c r="C11" s="19">
        <f>COUNTIFS(Prospects!C3:C5000,"Garage",Prospects!N3:N5000,"Signé")</f>
        <v>0</v>
      </c>
      <c r="D11" s="20">
        <f>SUMIFS(Prospects!Q3:Q5000,Prospects!C3:C5000,"Garage",Prospects!N3:N5000,"Signé")</f>
        <v>0</v>
      </c>
      <c r="E11" s="21">
        <f>IFERROR(COUNTIFS(Prospects!C3:C5000,"Garage",Prospects!N3:N5000,"Signé")/COUNTIF(Prospects!C3:C5000,"Garage"),0)</f>
        <v>0</v>
      </c>
      <c r="F11" s="19">
        <f>COUNTIFS(Prospects!C3:C5000,"Garage",Prospects!L3:L5000,"Oui")</f>
        <v>0</v>
      </c>
      <c r="H11" s="19" t="s">
        <v>27</v>
      </c>
      <c r="I11" s="19">
        <f>COUNTIF(Prospects!N3:N5000,"Nouveau")</f>
        <v>1</v>
      </c>
      <c r="J11" s="21">
        <f>IFERROR(COUNTIF(Prospects!N3:N5000,"Nouveau")/COUNTA(Prospects!A3:A5000),0)</f>
        <v>0.2</v>
      </c>
    </row>
    <row r="12" spans="1:12" ht="20" customHeight="1" x14ac:dyDescent="0.2">
      <c r="A12" s="22" t="s">
        <v>30</v>
      </c>
      <c r="B12" s="22">
        <f>COUNTIF(Prospects!C3:C5000,"Artisan")</f>
        <v>1</v>
      </c>
      <c r="C12" s="22">
        <f>COUNTIFS(Prospects!C3:C5000,"Artisan",Prospects!N3:N5000,"Signé")</f>
        <v>0</v>
      </c>
      <c r="D12" s="23">
        <f>SUMIFS(Prospects!Q3:Q5000,Prospects!C3:C5000,"Artisan",Prospects!N3:N5000,"Signé")</f>
        <v>0</v>
      </c>
      <c r="E12" s="24">
        <f>IFERROR(COUNTIFS(Prospects!C3:C5000,"Artisan",Prospects!N3:N5000,"Signé")/COUNTIF(Prospects!C3:C5000,"Artisan"),0)</f>
        <v>0</v>
      </c>
      <c r="F12" s="22">
        <f>COUNTIFS(Prospects!C3:C5000,"Artisan",Prospects!L3:L5000,"Oui")</f>
        <v>1</v>
      </c>
      <c r="H12" s="22" t="s">
        <v>38</v>
      </c>
      <c r="I12" s="22">
        <f>COUNTIF(Prospects!N3:N5000,"Mockup envoyé")</f>
        <v>1</v>
      </c>
      <c r="J12" s="24">
        <f>IFERROR(COUNTIF(Prospects!N3:N5000,"Mockup envoyé")/COUNTA(Prospects!A3:A5000),0)</f>
        <v>0.2</v>
      </c>
    </row>
    <row r="13" spans="1:12" ht="20" customHeight="1" x14ac:dyDescent="0.2">
      <c r="A13" s="19" t="s">
        <v>41</v>
      </c>
      <c r="B13" s="19">
        <f>COUNTIF(Prospects!C3:C5000,"Auto-École")</f>
        <v>1</v>
      </c>
      <c r="C13" s="19">
        <f>COUNTIFS(Prospects!C3:C5000,"Auto-École",Prospects!N3:N5000,"Signé")</f>
        <v>0</v>
      </c>
      <c r="D13" s="20">
        <f>SUMIFS(Prospects!Q3:Q5000,Prospects!C3:C5000,"Auto-École",Prospects!N3:N5000,"Signé")</f>
        <v>0</v>
      </c>
      <c r="E13" s="21">
        <f>IFERROR(COUNTIFS(Prospects!C3:C5000,"Auto-École",Prospects!N3:N5000,"Signé")/COUNTIF(Prospects!C3:C5000,"Auto-École"),0)</f>
        <v>0</v>
      </c>
      <c r="F13" s="19">
        <f>COUNTIFS(Prospects!C3:C5000,"Auto-École",Prospects!L3:L5000,"Oui")</f>
        <v>0</v>
      </c>
      <c r="H13" s="19" t="s">
        <v>46</v>
      </c>
      <c r="I13" s="19">
        <f>COUNTIF(Prospects!N3:N5000,"À relancer")</f>
        <v>1</v>
      </c>
      <c r="J13" s="21">
        <f>IFERROR(COUNTIF(Prospects!N3:N5000,"À relancer")/COUNTA(Prospects!A3:A5000),0)</f>
        <v>0.2</v>
      </c>
    </row>
    <row r="14" spans="1:12" ht="20" customHeight="1" x14ac:dyDescent="0.2">
      <c r="A14" s="22" t="s">
        <v>48</v>
      </c>
      <c r="B14" s="22">
        <f>COUNTIF(Prospects!C3:C5000,"Restaurant")</f>
        <v>1</v>
      </c>
      <c r="C14" s="22">
        <f>COUNTIFS(Prospects!C3:C5000,"Restaurant",Prospects!N3:N5000,"Signé")</f>
        <v>1</v>
      </c>
      <c r="D14" s="23">
        <f>SUMIFS(Prospects!Q3:Q5000,Prospects!C3:C5000,"Restaurant",Prospects!N3:N5000,"Signé")</f>
        <v>1490</v>
      </c>
      <c r="E14" s="24">
        <f>IFERROR(COUNTIFS(Prospects!C3:C5000,"Restaurant",Prospects!N3:N5000,"Signé")/COUNTIF(Prospects!C3:C5000,"Restaurant"),0)</f>
        <v>1</v>
      </c>
      <c r="F14" s="22">
        <f>COUNTIFS(Prospects!C3:C5000,"Restaurant",Prospects!L3:L5000,"Oui")</f>
        <v>1</v>
      </c>
      <c r="H14" s="22" t="s">
        <v>80</v>
      </c>
      <c r="I14" s="22">
        <f>COUNTIF(Prospects!N3:N5000,"RDV fixé")</f>
        <v>0</v>
      </c>
      <c r="J14" s="24">
        <f>IFERROR(COUNTIF(Prospects!N3:N5000,"RDV fixé")/COUNTA(Prospects!A3:A5000),0)</f>
        <v>0</v>
      </c>
    </row>
    <row r="15" spans="1:12" ht="20" customHeight="1" x14ac:dyDescent="0.2">
      <c r="A15" s="19" t="s">
        <v>81</v>
      </c>
      <c r="B15" s="19">
        <f>COUNTIF(Prospects!C3:C5000,"Cabinet Médical")</f>
        <v>0</v>
      </c>
      <c r="C15" s="19">
        <f>COUNTIFS(Prospects!C3:C5000,"Cabinet Médical",Prospects!N3:N5000,"Signé")</f>
        <v>0</v>
      </c>
      <c r="D15" s="20">
        <f>SUMIFS(Prospects!Q3:Q5000,Prospects!C3:C5000,"Cabinet Médical",Prospects!N3:N5000,"Signé")</f>
        <v>0</v>
      </c>
      <c r="E15" s="21">
        <f>IFERROR(COUNTIFS(Prospects!C3:C5000,"Cabinet Médical",Prospects!N3:N5000,"Signé")/COUNTIF(Prospects!C3:C5000,"Cabinet Médical"),0)</f>
        <v>0</v>
      </c>
      <c r="F15" s="19">
        <f>COUNTIFS(Prospects!C3:C5000,"Cabinet Médical",Prospects!L3:L5000,"Oui")</f>
        <v>0</v>
      </c>
      <c r="H15" s="19" t="s">
        <v>82</v>
      </c>
      <c r="I15" s="19">
        <f>COUNTIF(Prospects!N3:N5000,"Négociation")</f>
        <v>0</v>
      </c>
      <c r="J15" s="21">
        <f>IFERROR(COUNTIF(Prospects!N3:N5000,"Négociation")/COUNTA(Prospects!A3:A5000),0)</f>
        <v>0</v>
      </c>
    </row>
    <row r="16" spans="1:12" ht="20" customHeight="1" x14ac:dyDescent="0.2">
      <c r="A16" s="22" t="s">
        <v>57</v>
      </c>
      <c r="B16" s="22">
        <f>COUNTIF(Prospects!C3:C5000,"Salon Beauté")</f>
        <v>1</v>
      </c>
      <c r="C16" s="22">
        <f>COUNTIFS(Prospects!C3:C5000,"Salon Beauté",Prospects!N3:N5000,"Signé")</f>
        <v>0</v>
      </c>
      <c r="D16" s="23">
        <f>SUMIFS(Prospects!Q3:Q5000,Prospects!C3:C5000,"Salon Beauté",Prospects!N3:N5000,"Signé")</f>
        <v>0</v>
      </c>
      <c r="E16" s="24">
        <f>IFERROR(COUNTIFS(Prospects!C3:C5000,"Salon Beauté",Prospects!N3:N5000,"Signé")/COUNTIF(Prospects!C3:C5000,"Salon Beauté"),0)</f>
        <v>0</v>
      </c>
      <c r="F16" s="22">
        <f>COUNTIFS(Prospects!C3:C5000,"Salon Beauté",Prospects!L3:L5000,"Oui")</f>
        <v>0</v>
      </c>
      <c r="H16" s="22" t="s">
        <v>55</v>
      </c>
      <c r="I16" s="22">
        <f>COUNTIF(Prospects!N3:N5000,"Signé")</f>
        <v>1</v>
      </c>
      <c r="J16" s="24">
        <f>IFERROR(COUNTIF(Prospects!N3:N5000,"Signé")/COUNTA(Prospects!A3:A5000),0)</f>
        <v>0.2</v>
      </c>
    </row>
    <row r="17" spans="1:10" ht="20" customHeight="1" x14ac:dyDescent="0.2">
      <c r="A17" s="19" t="s">
        <v>83</v>
      </c>
      <c r="B17" s="19">
        <f>COUNTIF(Prospects!C3:C5000,"Autre")</f>
        <v>0</v>
      </c>
      <c r="C17" s="19">
        <f>COUNTIFS(Prospects!C3:C5000,"Autre",Prospects!N3:N5000,"Signé")</f>
        <v>0</v>
      </c>
      <c r="D17" s="20">
        <f>SUMIFS(Prospects!Q3:Q5000,Prospects!C3:C5000,"Autre",Prospects!N3:N5000,"Signé")</f>
        <v>0</v>
      </c>
      <c r="E17" s="21">
        <f>IFERROR(COUNTIFS(Prospects!C3:C5000,"Autre",Prospects!N3:N5000,"Signé")/COUNTIF(Prospects!C3:C5000,"Autre"),0)</f>
        <v>0</v>
      </c>
      <c r="F17" s="19">
        <f>COUNTIFS(Prospects!C3:C5000,"Autre",Prospects!L3:L5000,"Oui")</f>
        <v>0</v>
      </c>
      <c r="H17" s="19" t="s">
        <v>63</v>
      </c>
      <c r="I17" s="19">
        <f>COUNTIF(Prospects!N3:N5000,"Perdu")</f>
        <v>1</v>
      </c>
      <c r="J17" s="21">
        <f>IFERROR(COUNTIF(Prospects!N3:N5000,"Perdu")/COUNTA(Prospects!A3:A5000),0)</f>
        <v>0.2</v>
      </c>
    </row>
  </sheetData>
  <mergeCells count="28">
    <mergeCell ref="A1:L1"/>
    <mergeCell ref="K4:L4"/>
    <mergeCell ref="G4:H4"/>
    <mergeCell ref="K7:L7"/>
    <mergeCell ref="I4:J4"/>
    <mergeCell ref="C7:D7"/>
    <mergeCell ref="E7:F7"/>
    <mergeCell ref="A3:L3"/>
    <mergeCell ref="A6:B6"/>
    <mergeCell ref="C4:D4"/>
    <mergeCell ref="H9:L9"/>
    <mergeCell ref="E4:F4"/>
    <mergeCell ref="A7:B7"/>
    <mergeCell ref="G7:H7"/>
    <mergeCell ref="I7:J7"/>
    <mergeCell ref="G6:H6"/>
    <mergeCell ref="E6:F6"/>
    <mergeCell ref="A9:F9"/>
    <mergeCell ref="A5:B5"/>
    <mergeCell ref="G5:H5"/>
    <mergeCell ref="K6:L6"/>
    <mergeCell ref="I5:J5"/>
    <mergeCell ref="A4:B4"/>
    <mergeCell ref="C6:D6"/>
    <mergeCell ref="I6:J6"/>
    <mergeCell ref="C5:D5"/>
    <mergeCell ref="E5:F5"/>
    <mergeCell ref="K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showGridLines="0" workbookViewId="0"/>
  </sheetViews>
  <sheetFormatPr baseColWidth="10" defaultColWidth="8.83203125" defaultRowHeight="15" x14ac:dyDescent="0.2"/>
  <cols>
    <col min="1" max="1" width="24" customWidth="1"/>
    <col min="2" max="2" width="60" customWidth="1"/>
  </cols>
  <sheetData>
    <row r="1" spans="1:2" ht="36" customHeight="1" x14ac:dyDescent="0.2">
      <c r="A1" s="51" t="s">
        <v>84</v>
      </c>
      <c r="B1" s="30"/>
    </row>
    <row r="3" spans="1:2" ht="22" customHeight="1" x14ac:dyDescent="0.2">
      <c r="A3" s="50" t="s">
        <v>85</v>
      </c>
      <c r="B3" s="30"/>
    </row>
    <row r="4" spans="1:2" ht="22" customHeight="1" x14ac:dyDescent="0.2">
      <c r="A4" s="25" t="s">
        <v>86</v>
      </c>
      <c r="B4" s="26" t="s">
        <v>87</v>
      </c>
    </row>
    <row r="5" spans="1:2" ht="22" customHeight="1" x14ac:dyDescent="0.2">
      <c r="A5" s="27" t="s">
        <v>88</v>
      </c>
      <c r="B5" s="28" t="s">
        <v>89</v>
      </c>
    </row>
    <row r="6" spans="1:2" ht="22" customHeight="1" x14ac:dyDescent="0.2">
      <c r="A6" s="25" t="s">
        <v>90</v>
      </c>
      <c r="B6" s="26" t="s">
        <v>91</v>
      </c>
    </row>
    <row r="7" spans="1:2" ht="22" customHeight="1" x14ac:dyDescent="0.2">
      <c r="A7" s="27" t="s">
        <v>92</v>
      </c>
      <c r="B7" s="28" t="s">
        <v>93</v>
      </c>
    </row>
    <row r="8" spans="1:2" ht="22" customHeight="1" x14ac:dyDescent="0.2">
      <c r="A8" s="25" t="s">
        <v>94</v>
      </c>
      <c r="B8" s="26" t="s">
        <v>95</v>
      </c>
    </row>
    <row r="9" spans="1:2" ht="22" customHeight="1" x14ac:dyDescent="0.2">
      <c r="A9" s="27" t="s">
        <v>96</v>
      </c>
      <c r="B9" s="28" t="s">
        <v>97</v>
      </c>
    </row>
    <row r="10" spans="1:2" ht="22" customHeight="1" x14ac:dyDescent="0.2">
      <c r="A10" s="50" t="s">
        <v>98</v>
      </c>
      <c r="B10" s="30"/>
    </row>
    <row r="11" spans="1:2" ht="22" customHeight="1" x14ac:dyDescent="0.2">
      <c r="A11" s="27" t="s">
        <v>27</v>
      </c>
      <c r="B11" s="28" t="s">
        <v>99</v>
      </c>
    </row>
    <row r="12" spans="1:2" ht="22" customHeight="1" x14ac:dyDescent="0.2">
      <c r="A12" s="25" t="s">
        <v>38</v>
      </c>
      <c r="B12" s="26" t="s">
        <v>100</v>
      </c>
    </row>
    <row r="13" spans="1:2" ht="22" customHeight="1" x14ac:dyDescent="0.2">
      <c r="A13" s="27" t="s">
        <v>46</v>
      </c>
      <c r="B13" s="28" t="s">
        <v>101</v>
      </c>
    </row>
    <row r="14" spans="1:2" ht="22" customHeight="1" x14ac:dyDescent="0.2">
      <c r="A14" s="25" t="s">
        <v>80</v>
      </c>
      <c r="B14" s="26" t="s">
        <v>102</v>
      </c>
    </row>
    <row r="15" spans="1:2" ht="22" customHeight="1" x14ac:dyDescent="0.2">
      <c r="A15" s="27" t="s">
        <v>82</v>
      </c>
      <c r="B15" s="28" t="s">
        <v>103</v>
      </c>
    </row>
    <row r="16" spans="1:2" ht="22" customHeight="1" x14ac:dyDescent="0.2">
      <c r="A16" s="25" t="s">
        <v>55</v>
      </c>
      <c r="B16" s="26" t="s">
        <v>104</v>
      </c>
    </row>
    <row r="17" spans="1:2" ht="22" customHeight="1" x14ac:dyDescent="0.2">
      <c r="A17" s="27" t="s">
        <v>63</v>
      </c>
      <c r="B17" s="28" t="s">
        <v>105</v>
      </c>
    </row>
    <row r="18" spans="1:2" ht="22" customHeight="1" x14ac:dyDescent="0.2">
      <c r="A18" s="50" t="s">
        <v>106</v>
      </c>
      <c r="B18" s="30"/>
    </row>
    <row r="19" spans="1:2" ht="22" customHeight="1" x14ac:dyDescent="0.2">
      <c r="A19" s="27" t="s">
        <v>107</v>
      </c>
      <c r="B19" s="28" t="s">
        <v>108</v>
      </c>
    </row>
    <row r="20" spans="1:2" ht="22" customHeight="1" x14ac:dyDescent="0.2">
      <c r="A20" s="25" t="s">
        <v>109</v>
      </c>
      <c r="B20" s="26" t="s">
        <v>110</v>
      </c>
    </row>
    <row r="21" spans="1:2" ht="22" customHeight="1" x14ac:dyDescent="0.2">
      <c r="A21" s="27" t="s">
        <v>111</v>
      </c>
      <c r="B21" s="28" t="s">
        <v>112</v>
      </c>
    </row>
    <row r="22" spans="1:2" ht="22" customHeight="1" x14ac:dyDescent="0.2">
      <c r="A22" s="25" t="s">
        <v>113</v>
      </c>
      <c r="B22" s="26" t="s">
        <v>114</v>
      </c>
    </row>
    <row r="23" spans="1:2" ht="22" customHeight="1" x14ac:dyDescent="0.2">
      <c r="A23" s="50" t="s">
        <v>115</v>
      </c>
      <c r="B23" s="30"/>
    </row>
    <row r="24" spans="1:2" ht="22" customHeight="1" x14ac:dyDescent="0.2">
      <c r="A24" s="25" t="s">
        <v>28</v>
      </c>
      <c r="B24" s="26" t="s">
        <v>116</v>
      </c>
    </row>
    <row r="25" spans="1:2" ht="22" customHeight="1" x14ac:dyDescent="0.2">
      <c r="A25" s="27" t="s">
        <v>39</v>
      </c>
      <c r="B25" s="28" t="s">
        <v>117</v>
      </c>
    </row>
    <row r="26" spans="1:2" ht="22" customHeight="1" x14ac:dyDescent="0.2">
      <c r="A26" s="25" t="s">
        <v>118</v>
      </c>
      <c r="B26" s="26" t="s">
        <v>119</v>
      </c>
    </row>
  </sheetData>
  <mergeCells count="5">
    <mergeCell ref="A10:B10"/>
    <mergeCell ref="A1:B1"/>
    <mergeCell ref="A23:B23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Prospects</vt:lpstr>
      <vt:lpstr>Dashboard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Mahboub</cp:lastModifiedBy>
  <dcterms:created xsi:type="dcterms:W3CDTF">2026-04-10T16:50:45Z</dcterms:created>
  <dcterms:modified xsi:type="dcterms:W3CDTF">2026-04-10T17:03:14Z</dcterms:modified>
</cp:coreProperties>
</file>